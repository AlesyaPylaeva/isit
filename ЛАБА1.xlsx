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sapylaeva/Downloads/"/>
    </mc:Choice>
  </mc:AlternateContent>
  <xr:revisionPtr revIDLastSave="0" documentId="13_ncr:1_{77769686-E713-9F4D-8B25-73C09408E526}" xr6:coauthVersionLast="47" xr6:coauthVersionMax="47" xr10:uidLastSave="{00000000-0000-0000-0000-000000000000}"/>
  <bookViews>
    <workbookView xWindow="0" yWindow="760" windowWidth="28420" windowHeight="17300" xr2:uid="{DF7E6C1F-95FA-41CB-8EF4-4C43AA9BFB0F}"/>
  </bookViews>
  <sheets>
    <sheet name="Лист1" sheetId="1" r:id="rId1"/>
    <sheet name="Лист2" sheetId="2" r:id="rId2"/>
  </sheets>
  <definedNames>
    <definedName name="_xlnm._FilterDatabase" localSheetId="0" hidden="1">Лист1!$A$1:$I$15</definedName>
    <definedName name="_xlnm.Extract" localSheetId="0">Лист1!$A$54:$I$54</definedName>
    <definedName name="_xlnm.Criteria" localSheetId="0">Лист1!$N$18:$O$20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O10" i="1"/>
  <c r="O8" i="1"/>
  <c r="O7" i="1"/>
  <c r="O5" i="1"/>
  <c r="O4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J2" i="1"/>
  <c r="J4" i="1"/>
  <c r="J5" i="1"/>
  <c r="J6" i="1"/>
  <c r="J7" i="1"/>
  <c r="J8" i="1"/>
  <c r="J9" i="1"/>
  <c r="J10" i="1"/>
  <c r="J11" i="1"/>
  <c r="J12" i="1"/>
  <c r="J13" i="1"/>
  <c r="J14" i="1"/>
  <c r="J15" i="1"/>
  <c r="J3" i="1"/>
</calcChain>
</file>

<file path=xl/sharedStrings.xml><?xml version="1.0" encoding="utf-8"?>
<sst xmlns="http://schemas.openxmlformats.org/spreadsheetml/2006/main" count="491" uniqueCount="85">
  <si>
    <t>Фамилия</t>
  </si>
  <si>
    <t>Имя</t>
  </si>
  <si>
    <t>Отчество</t>
  </si>
  <si>
    <t>Дата рождения</t>
  </si>
  <si>
    <t>Место рождения</t>
  </si>
  <si>
    <t>Факультет</t>
  </si>
  <si>
    <t>Номер группы</t>
  </si>
  <si>
    <t>Курс</t>
  </si>
  <si>
    <t>Форма обучения</t>
  </si>
  <si>
    <t>Первакова</t>
  </si>
  <si>
    <t>Анастасия</t>
  </si>
  <si>
    <t>Вадимовна</t>
  </si>
  <si>
    <t>Москва</t>
  </si>
  <si>
    <t>ИБК</t>
  </si>
  <si>
    <t>2-СД-8</t>
  </si>
  <si>
    <t>Дневная</t>
  </si>
  <si>
    <t>Маралев</t>
  </si>
  <si>
    <t>Кирилл</t>
  </si>
  <si>
    <t>Иванович</t>
  </si>
  <si>
    <t>Санкт-Петербург</t>
  </si>
  <si>
    <t>1-СД-8</t>
  </si>
  <si>
    <t>Гронская</t>
  </si>
  <si>
    <t>Анна</t>
  </si>
  <si>
    <t>Игоревна</t>
  </si>
  <si>
    <t>Вологда</t>
  </si>
  <si>
    <t>1-СВ-8</t>
  </si>
  <si>
    <t>Вечерняя</t>
  </si>
  <si>
    <t>Веселова</t>
  </si>
  <si>
    <t>Юлия</t>
  </si>
  <si>
    <t>Сергеевна</t>
  </si>
  <si>
    <t>Погосов</t>
  </si>
  <si>
    <t>Евгений</t>
  </si>
  <si>
    <t>Вадимович</t>
  </si>
  <si>
    <t>1-СД-2</t>
  </si>
  <si>
    <t>Кудрявцев</t>
  </si>
  <si>
    <t>Павел</t>
  </si>
  <si>
    <t>Сергеевич</t>
  </si>
  <si>
    <t>1-СД-6</t>
  </si>
  <si>
    <t>Оганина</t>
  </si>
  <si>
    <t>Елизавета</t>
  </si>
  <si>
    <t>Ильинична</t>
  </si>
  <si>
    <t>2-СД-2</t>
  </si>
  <si>
    <t>Яковлева</t>
  </si>
  <si>
    <t>Дмитриевна</t>
  </si>
  <si>
    <t>1-СЗ-3</t>
  </si>
  <si>
    <t>Заочная</t>
  </si>
  <si>
    <t>Иванова</t>
  </si>
  <si>
    <t>Эльвира</t>
  </si>
  <si>
    <t>Мирзаевна</t>
  </si>
  <si>
    <t>Леонидовна</t>
  </si>
  <si>
    <t>1-СВ-9</t>
  </si>
  <si>
    <t>Корогодин</t>
  </si>
  <si>
    <t>Владимир</t>
  </si>
  <si>
    <t>1-СД-9</t>
  </si>
  <si>
    <t>Зиновьева</t>
  </si>
  <si>
    <t>Татьяна</t>
  </si>
  <si>
    <t>Тосно</t>
  </si>
  <si>
    <t>СЗППИ</t>
  </si>
  <si>
    <t>3-ПЗ-2</t>
  </si>
  <si>
    <t>Широкова</t>
  </si>
  <si>
    <t>Марина</t>
  </si>
  <si>
    <t>Алексеевна</t>
  </si>
  <si>
    <t>5-ПЗ-3</t>
  </si>
  <si>
    <t>Рожкова</t>
  </si>
  <si>
    <t>Олеся</t>
  </si>
  <si>
    <t>Константиновна</t>
  </si>
  <si>
    <t>1-ПВ-2</t>
  </si>
  <si>
    <t>&gt;01.01.1997</t>
  </si>
  <si>
    <t>&lt;31.12.1997</t>
  </si>
  <si>
    <t>Один факультет и год рождения</t>
  </si>
  <si>
    <t>Один факультет, 1 курс и дневная фо</t>
  </si>
  <si>
    <t>Один факультет, 2 курс, один год, Москва,  2-СД-8</t>
  </si>
  <si>
    <t>Москва или СПБ, 1 или 2 курс</t>
  </si>
  <si>
    <t>Стипендия</t>
  </si>
  <si>
    <t>Наличие льгот</t>
  </si>
  <si>
    <t>Да</t>
  </si>
  <si>
    <t>Нет</t>
  </si>
  <si>
    <t>Повышенная стипендия</t>
  </si>
  <si>
    <t>1 Кол-во студентов ИБК:</t>
  </si>
  <si>
    <t>2 Кол-во студентов ИБК 1997 гр:</t>
  </si>
  <si>
    <t>Суммарная стипендия ИБК 1997 гр:</t>
  </si>
  <si>
    <t>Суммарная стипендия:</t>
  </si>
  <si>
    <t>4 Кол-во студентов:</t>
  </si>
  <si>
    <t>Ср Знач:</t>
  </si>
  <si>
    <t>3 Кол-во студентов ИБК 1 дневной фо: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</si>
</sst>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CFBB-6E67-4A08-BC3D-A254FF40E179}">
  <dimension ref="A1:O62"/>
  <sheetViews>
    <sheetView tabSelected="1" zoomScale="125" workbookViewId="0">
      <selection activeCell="N15" sqref="N15"/>
    </sheetView>
  </sheetViews>
  <sheetFormatPr baseColWidth="10" defaultColWidth="8.83203125" defaultRowHeight="15" x14ac:dyDescent="0.2"/>
  <cols>
    <col min="1" max="1" width="12.1640625" customWidth="1"/>
    <col min="2" max="2" width="10.5" customWidth="1"/>
    <col min="3" max="3" width="13.1640625" customWidth="1"/>
    <col min="4" max="4" width="11.6640625" customWidth="1"/>
    <col min="5" max="5" width="16.5" customWidth="1"/>
    <col min="8" max="8" width="6.83203125" customWidth="1"/>
    <col min="9" max="9" width="11" customWidth="1"/>
    <col min="10" max="10" width="10.6640625" customWidth="1"/>
    <col min="12" max="12" width="12.5" customWidth="1"/>
    <col min="13" max="13" width="2.5" customWidth="1"/>
    <col min="14" max="14" width="30.6640625" customWidth="1"/>
    <col min="15" max="15" width="5.6640625" customWidth="1"/>
  </cols>
  <sheetData>
    <row r="1" spans="1:15" ht="3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73</v>
      </c>
      <c r="K1" s="1" t="s">
        <v>74</v>
      </c>
      <c r="L1" s="1" t="s">
        <v>77</v>
      </c>
    </row>
    <row r="2" spans="1:15" x14ac:dyDescent="0.2">
      <c r="A2" s="12" t="s">
        <v>9</v>
      </c>
      <c r="B2" s="12" t="s">
        <v>10</v>
      </c>
      <c r="C2" s="12" t="s">
        <v>11</v>
      </c>
      <c r="D2" s="13">
        <v>35337</v>
      </c>
      <c r="E2" s="14" t="s">
        <v>12</v>
      </c>
      <c r="F2" s="12" t="s">
        <v>13</v>
      </c>
      <c r="G2" s="12" t="s">
        <v>14</v>
      </c>
      <c r="H2" s="12">
        <v>2</v>
      </c>
      <c r="I2" s="12" t="s">
        <v>15</v>
      </c>
      <c r="J2" s="15">
        <f>IF(I2="Дневная",2000,IF(I2="Вечерняя",1000,IF(I2="Заочная",500,0)))</f>
        <v>2000</v>
      </c>
      <c r="K2" s="17" t="s">
        <v>75</v>
      </c>
      <c r="L2" s="15">
        <f>IF(AND(K2="Да",H2=1),J2*4,IF(AND(K2="Да",OR(H2=2,H2=3)),J2*2.5,IF(AND(K2="Да",H2&gt;3),J2*1.5,"-")))</f>
        <v>5000</v>
      </c>
      <c r="N2" s="19" t="s">
        <v>78</v>
      </c>
      <c r="O2" s="22">
        <f>DCOUNT(A1:L15,H1,J18:J19)</f>
        <v>11</v>
      </c>
    </row>
    <row r="3" spans="1:15" x14ac:dyDescent="0.2">
      <c r="A3" s="8" t="s">
        <v>16</v>
      </c>
      <c r="B3" s="8" t="s">
        <v>17</v>
      </c>
      <c r="C3" s="8" t="s">
        <v>18</v>
      </c>
      <c r="D3" s="9">
        <v>34604</v>
      </c>
      <c r="E3" s="10" t="s">
        <v>19</v>
      </c>
      <c r="F3" s="8" t="s">
        <v>13</v>
      </c>
      <c r="G3" s="8" t="s">
        <v>20</v>
      </c>
      <c r="H3" s="8">
        <v>1</v>
      </c>
      <c r="I3" s="8" t="s">
        <v>15</v>
      </c>
      <c r="J3" s="11">
        <f>IF(I3="Дневная",2000,IF(I3="Вечерняя",1000,IF(I3="Заочная",500,0)))</f>
        <v>2000</v>
      </c>
      <c r="K3" s="16" t="s">
        <v>76</v>
      </c>
      <c r="L3" s="11" t="str">
        <f t="shared" ref="L3:L15" si="0">IF(AND(K3="Да",H3=1),J3*4,IF(AND(K3="Да",OR(H3=2,H3=3)),J3*2.5,IF(AND(K3="Да",H3&gt;3),J3*1.5,"-")))</f>
        <v>-</v>
      </c>
      <c r="N3" s="20"/>
      <c r="O3" s="23"/>
    </row>
    <row r="4" spans="1:15" x14ac:dyDescent="0.2">
      <c r="A4" s="8" t="s">
        <v>21</v>
      </c>
      <c r="B4" s="8" t="s">
        <v>22</v>
      </c>
      <c r="C4" s="8" t="s">
        <v>23</v>
      </c>
      <c r="D4" s="9">
        <v>35593</v>
      </c>
      <c r="E4" s="10" t="s">
        <v>24</v>
      </c>
      <c r="F4" s="8" t="s">
        <v>13</v>
      </c>
      <c r="G4" s="8" t="s">
        <v>25</v>
      </c>
      <c r="H4" s="8">
        <v>1</v>
      </c>
      <c r="I4" s="8" t="s">
        <v>26</v>
      </c>
      <c r="J4" s="11">
        <f t="shared" ref="J4:J15" si="1">IF(I4="Дневная",2000,IF(I4="Вечерняя",1000,IF(I4="Заочная",500,0)))</f>
        <v>1000</v>
      </c>
      <c r="K4" s="16" t="s">
        <v>76</v>
      </c>
      <c r="L4" s="11" t="str">
        <f t="shared" si="0"/>
        <v>-</v>
      </c>
      <c r="N4" s="20" t="s">
        <v>79</v>
      </c>
      <c r="O4" s="23">
        <f>DCOUNT(A1:L15,H1,A18:C19)</f>
        <v>5</v>
      </c>
    </row>
    <row r="5" spans="1:15" x14ac:dyDescent="0.2">
      <c r="A5" s="8" t="s">
        <v>27</v>
      </c>
      <c r="B5" s="8" t="s">
        <v>28</v>
      </c>
      <c r="C5" s="8" t="s">
        <v>29</v>
      </c>
      <c r="D5" s="9">
        <v>35465</v>
      </c>
      <c r="E5" s="10" t="s">
        <v>12</v>
      </c>
      <c r="F5" s="8" t="s">
        <v>13</v>
      </c>
      <c r="G5" s="8" t="s">
        <v>14</v>
      </c>
      <c r="H5" s="8">
        <v>2</v>
      </c>
      <c r="I5" s="8" t="s">
        <v>15</v>
      </c>
      <c r="J5" s="11">
        <f t="shared" si="1"/>
        <v>2000</v>
      </c>
      <c r="K5" s="16" t="s">
        <v>76</v>
      </c>
      <c r="L5" s="11" t="str">
        <f t="shared" si="0"/>
        <v>-</v>
      </c>
      <c r="N5" s="20" t="s">
        <v>80</v>
      </c>
      <c r="O5" s="23">
        <f>DSUM(A1:L15,J1,A18:C19)</f>
        <v>9000</v>
      </c>
    </row>
    <row r="6" spans="1:15" x14ac:dyDescent="0.2">
      <c r="A6" s="8" t="s">
        <v>30</v>
      </c>
      <c r="B6" s="8" t="s">
        <v>31</v>
      </c>
      <c r="C6" s="8" t="s">
        <v>32</v>
      </c>
      <c r="D6" s="9">
        <v>35615</v>
      </c>
      <c r="E6" s="10" t="s">
        <v>19</v>
      </c>
      <c r="F6" s="8" t="s">
        <v>13</v>
      </c>
      <c r="G6" s="8" t="s">
        <v>33</v>
      </c>
      <c r="H6" s="8">
        <v>1</v>
      </c>
      <c r="I6" s="8" t="s">
        <v>15</v>
      </c>
      <c r="J6" s="11">
        <f t="shared" si="1"/>
        <v>2000</v>
      </c>
      <c r="K6" s="16" t="s">
        <v>75</v>
      </c>
      <c r="L6" s="11">
        <f t="shared" si="0"/>
        <v>8000</v>
      </c>
      <c r="N6" s="20"/>
      <c r="O6" s="23"/>
    </row>
    <row r="7" spans="1:15" x14ac:dyDescent="0.2">
      <c r="A7" s="8" t="s">
        <v>34</v>
      </c>
      <c r="B7" s="8" t="s">
        <v>35</v>
      </c>
      <c r="C7" s="8" t="s">
        <v>36</v>
      </c>
      <c r="D7" s="9">
        <v>34593</v>
      </c>
      <c r="E7" s="10" t="s">
        <v>19</v>
      </c>
      <c r="F7" s="8" t="s">
        <v>13</v>
      </c>
      <c r="G7" s="8" t="s">
        <v>37</v>
      </c>
      <c r="H7" s="8">
        <v>1</v>
      </c>
      <c r="I7" s="8" t="s">
        <v>15</v>
      </c>
      <c r="J7" s="11">
        <f t="shared" si="1"/>
        <v>2000</v>
      </c>
      <c r="K7" s="16" t="s">
        <v>76</v>
      </c>
      <c r="L7" s="11" t="str">
        <f t="shared" si="0"/>
        <v>-</v>
      </c>
      <c r="N7" s="20" t="s">
        <v>84</v>
      </c>
      <c r="O7" s="23">
        <f>DCOUNT(A1:L15,J1,J18:L19)</f>
        <v>4</v>
      </c>
    </row>
    <row r="8" spans="1:15" x14ac:dyDescent="0.2">
      <c r="A8" s="8" t="s">
        <v>38</v>
      </c>
      <c r="B8" s="8" t="s">
        <v>39</v>
      </c>
      <c r="C8" s="8" t="s">
        <v>40</v>
      </c>
      <c r="D8" s="9">
        <v>35614</v>
      </c>
      <c r="E8" s="10" t="s">
        <v>12</v>
      </c>
      <c r="F8" s="8" t="s">
        <v>13</v>
      </c>
      <c r="G8" s="8" t="s">
        <v>41</v>
      </c>
      <c r="H8" s="8">
        <v>2</v>
      </c>
      <c r="I8" s="8" t="s">
        <v>15</v>
      </c>
      <c r="J8" s="11">
        <f t="shared" si="1"/>
        <v>2000</v>
      </c>
      <c r="K8" s="16" t="s">
        <v>75</v>
      </c>
      <c r="L8" s="11">
        <f t="shared" si="0"/>
        <v>5000</v>
      </c>
      <c r="N8" s="20" t="s">
        <v>81</v>
      </c>
      <c r="O8" s="23">
        <f>DSUM(A1:L15,J1,J18:L19)</f>
        <v>8000</v>
      </c>
    </row>
    <row r="9" spans="1:15" x14ac:dyDescent="0.2">
      <c r="A9" s="8" t="s">
        <v>42</v>
      </c>
      <c r="B9" s="8" t="s">
        <v>22</v>
      </c>
      <c r="C9" s="8" t="s">
        <v>43</v>
      </c>
      <c r="D9" s="9">
        <v>34703</v>
      </c>
      <c r="E9" s="10" t="s">
        <v>19</v>
      </c>
      <c r="F9" s="8" t="s">
        <v>13</v>
      </c>
      <c r="G9" s="8" t="s">
        <v>44</v>
      </c>
      <c r="H9" s="8">
        <v>1</v>
      </c>
      <c r="I9" s="8" t="s">
        <v>45</v>
      </c>
      <c r="J9" s="11">
        <f t="shared" si="1"/>
        <v>500</v>
      </c>
      <c r="K9" s="16" t="s">
        <v>75</v>
      </c>
      <c r="L9" s="11">
        <f t="shared" si="0"/>
        <v>2000</v>
      </c>
      <c r="N9" s="20"/>
      <c r="O9" s="23"/>
    </row>
    <row r="10" spans="1:15" x14ac:dyDescent="0.2">
      <c r="A10" s="8" t="s">
        <v>46</v>
      </c>
      <c r="B10" s="8" t="s">
        <v>47</v>
      </c>
      <c r="C10" s="8" t="s">
        <v>48</v>
      </c>
      <c r="D10" s="9">
        <v>35121</v>
      </c>
      <c r="E10" s="10" t="s">
        <v>24</v>
      </c>
      <c r="F10" s="8" t="s">
        <v>13</v>
      </c>
      <c r="G10" s="8" t="s">
        <v>44</v>
      </c>
      <c r="H10" s="8">
        <v>1</v>
      </c>
      <c r="I10" s="8" t="s">
        <v>45</v>
      </c>
      <c r="J10" s="11">
        <f t="shared" si="1"/>
        <v>500</v>
      </c>
      <c r="K10" s="16" t="s">
        <v>76</v>
      </c>
      <c r="L10" s="11" t="str">
        <f t="shared" si="0"/>
        <v>-</v>
      </c>
      <c r="N10" s="20" t="s">
        <v>82</v>
      </c>
      <c r="O10" s="23">
        <f>DCOUNT(A1:L15,J1,A18:F19)</f>
        <v>1</v>
      </c>
    </row>
    <row r="11" spans="1:15" ht="16" thickBot="1" x14ac:dyDescent="0.25">
      <c r="A11" s="8" t="s">
        <v>46</v>
      </c>
      <c r="B11" s="8" t="s">
        <v>22</v>
      </c>
      <c r="C11" s="8" t="s">
        <v>49</v>
      </c>
      <c r="D11" s="9">
        <v>35339</v>
      </c>
      <c r="E11" s="10" t="s">
        <v>19</v>
      </c>
      <c r="F11" s="8" t="s">
        <v>13</v>
      </c>
      <c r="G11" s="8" t="s">
        <v>50</v>
      </c>
      <c r="H11" s="8">
        <v>1</v>
      </c>
      <c r="I11" s="8" t="s">
        <v>26</v>
      </c>
      <c r="J11" s="11">
        <f t="shared" si="1"/>
        <v>1000</v>
      </c>
      <c r="K11" s="16" t="s">
        <v>75</v>
      </c>
      <c r="L11" s="11">
        <f t="shared" si="0"/>
        <v>4000</v>
      </c>
      <c r="N11" s="21" t="s">
        <v>83</v>
      </c>
      <c r="O11" s="24">
        <f>DAVERAGE(A1:L15,J1,A18:F19)</f>
        <v>2000</v>
      </c>
    </row>
    <row r="12" spans="1:15" x14ac:dyDescent="0.2">
      <c r="A12" s="8" t="s">
        <v>51</v>
      </c>
      <c r="B12" s="8" t="s">
        <v>52</v>
      </c>
      <c r="C12" s="8" t="s">
        <v>36</v>
      </c>
      <c r="D12" s="9">
        <v>35513</v>
      </c>
      <c r="E12" s="10" t="s">
        <v>12</v>
      </c>
      <c r="F12" s="8" t="s">
        <v>13</v>
      </c>
      <c r="G12" s="8" t="s">
        <v>53</v>
      </c>
      <c r="H12" s="8">
        <v>1</v>
      </c>
      <c r="I12" s="8" t="s">
        <v>15</v>
      </c>
      <c r="J12" s="11">
        <f t="shared" si="1"/>
        <v>2000</v>
      </c>
      <c r="K12" s="16" t="s">
        <v>76</v>
      </c>
      <c r="L12" s="11" t="str">
        <f t="shared" si="0"/>
        <v>-</v>
      </c>
    </row>
    <row r="13" spans="1:15" x14ac:dyDescent="0.2">
      <c r="A13" s="8" t="s">
        <v>54</v>
      </c>
      <c r="B13" s="8" t="s">
        <v>55</v>
      </c>
      <c r="C13" s="8" t="s">
        <v>29</v>
      </c>
      <c r="D13" s="9">
        <v>34027</v>
      </c>
      <c r="E13" s="10" t="s">
        <v>56</v>
      </c>
      <c r="F13" s="8" t="s">
        <v>57</v>
      </c>
      <c r="G13" s="8" t="s">
        <v>58</v>
      </c>
      <c r="H13" s="8">
        <v>3</v>
      </c>
      <c r="I13" s="8" t="s">
        <v>45</v>
      </c>
      <c r="J13" s="11">
        <f t="shared" si="1"/>
        <v>500</v>
      </c>
      <c r="K13" s="16" t="s">
        <v>75</v>
      </c>
      <c r="L13" s="11">
        <f t="shared" si="0"/>
        <v>1250</v>
      </c>
    </row>
    <row r="14" spans="1:15" x14ac:dyDescent="0.2">
      <c r="A14" s="8" t="s">
        <v>59</v>
      </c>
      <c r="B14" s="8" t="s">
        <v>60</v>
      </c>
      <c r="C14" s="8" t="s">
        <v>61</v>
      </c>
      <c r="D14" s="9">
        <v>33594</v>
      </c>
      <c r="E14" s="10" t="s">
        <v>12</v>
      </c>
      <c r="F14" s="8" t="s">
        <v>57</v>
      </c>
      <c r="G14" s="8" t="s">
        <v>62</v>
      </c>
      <c r="H14" s="8">
        <v>5</v>
      </c>
      <c r="I14" s="8" t="s">
        <v>45</v>
      </c>
      <c r="J14" s="11">
        <f t="shared" si="1"/>
        <v>500</v>
      </c>
      <c r="K14" s="16" t="s">
        <v>75</v>
      </c>
      <c r="L14" s="11">
        <f t="shared" si="0"/>
        <v>750</v>
      </c>
    </row>
    <row r="15" spans="1:15" x14ac:dyDescent="0.2">
      <c r="A15" s="8" t="s">
        <v>63</v>
      </c>
      <c r="B15" s="8" t="s">
        <v>64</v>
      </c>
      <c r="C15" s="8" t="s">
        <v>65</v>
      </c>
      <c r="D15" s="9">
        <v>33158</v>
      </c>
      <c r="E15" s="10" t="s">
        <v>56</v>
      </c>
      <c r="F15" s="8" t="s">
        <v>57</v>
      </c>
      <c r="G15" s="8" t="s">
        <v>66</v>
      </c>
      <c r="H15" s="8">
        <v>1</v>
      </c>
      <c r="I15" s="8" t="s">
        <v>26</v>
      </c>
      <c r="J15" s="11">
        <f t="shared" si="1"/>
        <v>1000</v>
      </c>
      <c r="K15" s="16" t="s">
        <v>75</v>
      </c>
      <c r="L15" s="11">
        <f t="shared" si="0"/>
        <v>4000</v>
      </c>
    </row>
    <row r="17" spans="1:15" ht="16" thickBot="1" x14ac:dyDescent="0.25"/>
    <row r="18" spans="1:15" ht="31" thickBot="1" x14ac:dyDescent="0.25">
      <c r="A18" s="1" t="s">
        <v>5</v>
      </c>
      <c r="B18" s="2" t="s">
        <v>3</v>
      </c>
      <c r="C18" s="2" t="s">
        <v>3</v>
      </c>
      <c r="D18" s="2" t="s">
        <v>7</v>
      </c>
      <c r="E18" s="2" t="s">
        <v>4</v>
      </c>
      <c r="F18" s="2" t="s">
        <v>6</v>
      </c>
      <c r="J18" s="1" t="s">
        <v>5</v>
      </c>
      <c r="K18" s="2" t="s">
        <v>7</v>
      </c>
      <c r="L18" s="2" t="s">
        <v>8</v>
      </c>
      <c r="N18" s="1" t="s">
        <v>4</v>
      </c>
      <c r="O18" s="2" t="s">
        <v>7</v>
      </c>
    </row>
    <row r="19" spans="1:15" x14ac:dyDescent="0.2">
      <c r="A19" s="18" t="s">
        <v>13</v>
      </c>
      <c r="B19" s="18" t="s">
        <v>67</v>
      </c>
      <c r="C19" s="18" t="s">
        <v>68</v>
      </c>
      <c r="D19" s="18">
        <v>2</v>
      </c>
      <c r="E19" s="14" t="s">
        <v>12</v>
      </c>
      <c r="F19" s="12" t="s">
        <v>14</v>
      </c>
      <c r="J19" s="18" t="s">
        <v>13</v>
      </c>
      <c r="K19" s="18">
        <v>1</v>
      </c>
      <c r="L19" s="12" t="s">
        <v>15</v>
      </c>
      <c r="N19" s="14" t="s">
        <v>12</v>
      </c>
      <c r="O19" s="15">
        <v>2</v>
      </c>
    </row>
    <row r="20" spans="1:15" ht="16" thickBot="1" x14ac:dyDescent="0.25">
      <c r="N20" s="10" t="s">
        <v>19</v>
      </c>
      <c r="O20" s="11">
        <v>1</v>
      </c>
    </row>
    <row r="21" spans="1:15" ht="31" thickBot="1" x14ac:dyDescent="0.25">
      <c r="A21" s="1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2" t="s">
        <v>8</v>
      </c>
    </row>
    <row r="22" spans="1:15" ht="16" thickBot="1" x14ac:dyDescent="0.25">
      <c r="A22" s="3" t="s">
        <v>9</v>
      </c>
      <c r="B22" s="4" t="s">
        <v>10</v>
      </c>
      <c r="C22" s="4" t="s">
        <v>11</v>
      </c>
      <c r="D22" s="5">
        <v>35337</v>
      </c>
      <c r="E22" s="6" t="s">
        <v>12</v>
      </c>
      <c r="F22" s="4" t="s">
        <v>13</v>
      </c>
      <c r="G22" s="4" t="s">
        <v>14</v>
      </c>
      <c r="H22" s="4">
        <v>2</v>
      </c>
      <c r="I22" s="4" t="s">
        <v>15</v>
      </c>
    </row>
    <row r="23" spans="1:15" ht="16" thickBot="1" x14ac:dyDescent="0.25">
      <c r="A23" s="3" t="s">
        <v>16</v>
      </c>
      <c r="B23" s="4" t="s">
        <v>17</v>
      </c>
      <c r="C23" s="4" t="s">
        <v>18</v>
      </c>
      <c r="D23" s="5">
        <v>34604</v>
      </c>
      <c r="E23" s="6" t="s">
        <v>19</v>
      </c>
      <c r="F23" s="4" t="s">
        <v>13</v>
      </c>
      <c r="G23" s="4" t="s">
        <v>20</v>
      </c>
      <c r="H23" s="4">
        <v>1</v>
      </c>
      <c r="I23" s="4" t="s">
        <v>15</v>
      </c>
    </row>
    <row r="24" spans="1:15" ht="16" thickBot="1" x14ac:dyDescent="0.25">
      <c r="A24" s="3" t="s">
        <v>21</v>
      </c>
      <c r="B24" s="4" t="s">
        <v>22</v>
      </c>
      <c r="C24" s="4" t="s">
        <v>23</v>
      </c>
      <c r="D24" s="5">
        <v>35593</v>
      </c>
      <c r="E24" s="6" t="s">
        <v>24</v>
      </c>
      <c r="F24" s="4" t="s">
        <v>13</v>
      </c>
      <c r="G24" s="4" t="s">
        <v>25</v>
      </c>
      <c r="H24" s="4">
        <v>1</v>
      </c>
      <c r="I24" s="4" t="s">
        <v>26</v>
      </c>
    </row>
    <row r="25" spans="1:15" ht="16" thickBot="1" x14ac:dyDescent="0.25">
      <c r="A25" s="3" t="s">
        <v>27</v>
      </c>
      <c r="B25" s="4" t="s">
        <v>28</v>
      </c>
      <c r="C25" s="4" t="s">
        <v>29</v>
      </c>
      <c r="D25" s="5">
        <v>35465</v>
      </c>
      <c r="E25" s="6" t="s">
        <v>12</v>
      </c>
      <c r="F25" s="4" t="s">
        <v>13</v>
      </c>
      <c r="G25" s="4" t="s">
        <v>14</v>
      </c>
      <c r="H25" s="4">
        <v>2</v>
      </c>
      <c r="I25" s="4" t="s">
        <v>15</v>
      </c>
    </row>
    <row r="26" spans="1:15" ht="16" thickBot="1" x14ac:dyDescent="0.25">
      <c r="A26" s="3" t="s">
        <v>30</v>
      </c>
      <c r="B26" s="4" t="s">
        <v>31</v>
      </c>
      <c r="C26" s="4" t="s">
        <v>32</v>
      </c>
      <c r="D26" s="5">
        <v>35615</v>
      </c>
      <c r="E26" s="6" t="s">
        <v>19</v>
      </c>
      <c r="F26" s="4" t="s">
        <v>13</v>
      </c>
      <c r="G26" s="4" t="s">
        <v>33</v>
      </c>
      <c r="H26" s="4">
        <v>1</v>
      </c>
      <c r="I26" s="4" t="s">
        <v>15</v>
      </c>
    </row>
    <row r="27" spans="1:15" ht="16" thickBot="1" x14ac:dyDescent="0.25">
      <c r="A27" s="3" t="s">
        <v>34</v>
      </c>
      <c r="B27" s="4" t="s">
        <v>35</v>
      </c>
      <c r="C27" s="4" t="s">
        <v>36</v>
      </c>
      <c r="D27" s="5">
        <v>34593</v>
      </c>
      <c r="E27" s="6" t="s">
        <v>19</v>
      </c>
      <c r="F27" s="4" t="s">
        <v>13</v>
      </c>
      <c r="G27" s="4" t="s">
        <v>37</v>
      </c>
      <c r="H27" s="4">
        <v>1</v>
      </c>
      <c r="I27" s="4" t="s">
        <v>15</v>
      </c>
    </row>
    <row r="28" spans="1:15" ht="16" thickBot="1" x14ac:dyDescent="0.25">
      <c r="A28" s="3" t="s">
        <v>38</v>
      </c>
      <c r="B28" s="4" t="s">
        <v>39</v>
      </c>
      <c r="C28" s="4" t="s">
        <v>40</v>
      </c>
      <c r="D28" s="5">
        <v>35614</v>
      </c>
      <c r="E28" s="6" t="s">
        <v>12</v>
      </c>
      <c r="F28" s="4" t="s">
        <v>13</v>
      </c>
      <c r="G28" s="4" t="s">
        <v>41</v>
      </c>
      <c r="H28" s="4">
        <v>2</v>
      </c>
      <c r="I28" s="4" t="s">
        <v>15</v>
      </c>
    </row>
    <row r="29" spans="1:15" ht="16" thickBot="1" x14ac:dyDescent="0.25">
      <c r="A29" s="3" t="s">
        <v>42</v>
      </c>
      <c r="B29" s="4" t="s">
        <v>22</v>
      </c>
      <c r="C29" s="4" t="s">
        <v>43</v>
      </c>
      <c r="D29" s="5">
        <v>34703</v>
      </c>
      <c r="E29" s="6" t="s">
        <v>19</v>
      </c>
      <c r="F29" s="4" t="s">
        <v>13</v>
      </c>
      <c r="G29" s="4" t="s">
        <v>44</v>
      </c>
      <c r="H29" s="4">
        <v>1</v>
      </c>
      <c r="I29" s="4" t="s">
        <v>45</v>
      </c>
    </row>
    <row r="30" spans="1:15" ht="16" thickBot="1" x14ac:dyDescent="0.25">
      <c r="A30" s="3" t="s">
        <v>46</v>
      </c>
      <c r="B30" s="4" t="s">
        <v>47</v>
      </c>
      <c r="C30" s="4" t="s">
        <v>48</v>
      </c>
      <c r="D30" s="5">
        <v>35121</v>
      </c>
      <c r="E30" s="6" t="s">
        <v>24</v>
      </c>
      <c r="F30" s="4" t="s">
        <v>13</v>
      </c>
      <c r="G30" s="4" t="s">
        <v>44</v>
      </c>
      <c r="H30" s="4">
        <v>1</v>
      </c>
      <c r="I30" s="4" t="s">
        <v>45</v>
      </c>
    </row>
    <row r="31" spans="1:15" ht="16" thickBot="1" x14ac:dyDescent="0.25">
      <c r="A31" s="3" t="s">
        <v>46</v>
      </c>
      <c r="B31" s="4" t="s">
        <v>22</v>
      </c>
      <c r="C31" s="4" t="s">
        <v>49</v>
      </c>
      <c r="D31" s="5">
        <v>35339</v>
      </c>
      <c r="E31" s="6" t="s">
        <v>19</v>
      </c>
      <c r="F31" s="4" t="s">
        <v>13</v>
      </c>
      <c r="G31" s="4" t="s">
        <v>50</v>
      </c>
      <c r="H31" s="4">
        <v>1</v>
      </c>
      <c r="I31" s="4" t="s">
        <v>26</v>
      </c>
    </row>
    <row r="32" spans="1:15" ht="16" thickBot="1" x14ac:dyDescent="0.25">
      <c r="A32" s="3" t="s">
        <v>51</v>
      </c>
      <c r="B32" s="4" t="s">
        <v>52</v>
      </c>
      <c r="C32" s="4" t="s">
        <v>36</v>
      </c>
      <c r="D32" s="5">
        <v>35513</v>
      </c>
      <c r="E32" s="6" t="s">
        <v>12</v>
      </c>
      <c r="F32" s="4" t="s">
        <v>13</v>
      </c>
      <c r="G32" s="4" t="s">
        <v>53</v>
      </c>
      <c r="H32" s="4">
        <v>1</v>
      </c>
      <c r="I32" s="4" t="s">
        <v>15</v>
      </c>
    </row>
    <row r="34" spans="1:9" ht="16" thickBot="1" x14ac:dyDescent="0.25">
      <c r="A34" s="7" t="s">
        <v>69</v>
      </c>
    </row>
    <row r="35" spans="1:9" ht="31" thickBot="1" x14ac:dyDescent="0.25">
      <c r="A35" s="1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8</v>
      </c>
    </row>
    <row r="36" spans="1:9" ht="16" thickBot="1" x14ac:dyDescent="0.25">
      <c r="A36" s="3" t="s">
        <v>21</v>
      </c>
      <c r="B36" s="4" t="s">
        <v>22</v>
      </c>
      <c r="C36" s="4" t="s">
        <v>23</v>
      </c>
      <c r="D36" s="5">
        <v>35593</v>
      </c>
      <c r="E36" s="6" t="s">
        <v>24</v>
      </c>
      <c r="F36" s="4" t="s">
        <v>13</v>
      </c>
      <c r="G36" s="4" t="s">
        <v>25</v>
      </c>
      <c r="H36" s="4">
        <v>1</v>
      </c>
      <c r="I36" s="4" t="s">
        <v>26</v>
      </c>
    </row>
    <row r="37" spans="1:9" ht="16" thickBot="1" x14ac:dyDescent="0.25">
      <c r="A37" s="3" t="s">
        <v>27</v>
      </c>
      <c r="B37" s="4" t="s">
        <v>28</v>
      </c>
      <c r="C37" s="4" t="s">
        <v>29</v>
      </c>
      <c r="D37" s="5">
        <v>35465</v>
      </c>
      <c r="E37" s="6" t="s">
        <v>12</v>
      </c>
      <c r="F37" s="4" t="s">
        <v>13</v>
      </c>
      <c r="G37" s="4" t="s">
        <v>14</v>
      </c>
      <c r="H37" s="4">
        <v>2</v>
      </c>
      <c r="I37" s="4" t="s">
        <v>15</v>
      </c>
    </row>
    <row r="38" spans="1:9" ht="16" thickBot="1" x14ac:dyDescent="0.25">
      <c r="A38" s="3" t="s">
        <v>30</v>
      </c>
      <c r="B38" s="4" t="s">
        <v>31</v>
      </c>
      <c r="C38" s="4" t="s">
        <v>32</v>
      </c>
      <c r="D38" s="5">
        <v>35615</v>
      </c>
      <c r="E38" s="6" t="s">
        <v>19</v>
      </c>
      <c r="F38" s="4" t="s">
        <v>13</v>
      </c>
      <c r="G38" s="4" t="s">
        <v>33</v>
      </c>
      <c r="H38" s="4">
        <v>1</v>
      </c>
      <c r="I38" s="4" t="s">
        <v>15</v>
      </c>
    </row>
    <row r="39" spans="1:9" ht="16" thickBot="1" x14ac:dyDescent="0.25">
      <c r="A39" s="3" t="s">
        <v>38</v>
      </c>
      <c r="B39" s="4" t="s">
        <v>39</v>
      </c>
      <c r="C39" s="4" t="s">
        <v>40</v>
      </c>
      <c r="D39" s="5">
        <v>35614</v>
      </c>
      <c r="E39" s="6" t="s">
        <v>12</v>
      </c>
      <c r="F39" s="4" t="s">
        <v>13</v>
      </c>
      <c r="G39" s="4" t="s">
        <v>41</v>
      </c>
      <c r="H39" s="4">
        <v>2</v>
      </c>
      <c r="I39" s="4" t="s">
        <v>15</v>
      </c>
    </row>
    <row r="40" spans="1:9" ht="16" thickBot="1" x14ac:dyDescent="0.25">
      <c r="A40" s="3" t="s">
        <v>51</v>
      </c>
      <c r="B40" s="4" t="s">
        <v>52</v>
      </c>
      <c r="C40" s="4" t="s">
        <v>36</v>
      </c>
      <c r="D40" s="5">
        <v>35513</v>
      </c>
      <c r="E40" s="6" t="s">
        <v>12</v>
      </c>
      <c r="F40" s="4" t="s">
        <v>13</v>
      </c>
      <c r="G40" s="4" t="s">
        <v>53</v>
      </c>
      <c r="H40" s="4">
        <v>1</v>
      </c>
      <c r="I40" s="4" t="s">
        <v>15</v>
      </c>
    </row>
    <row r="42" spans="1:9" ht="16" thickBot="1" x14ac:dyDescent="0.25">
      <c r="A42" t="s">
        <v>70</v>
      </c>
    </row>
    <row r="43" spans="1:9" ht="31" thickBot="1" x14ac:dyDescent="0.25">
      <c r="A43" s="1" t="s">
        <v>0</v>
      </c>
      <c r="B43" s="2" t="s">
        <v>1</v>
      </c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2" t="s">
        <v>8</v>
      </c>
    </row>
    <row r="44" spans="1:9" ht="16" thickBot="1" x14ac:dyDescent="0.25">
      <c r="A44" s="3" t="s">
        <v>16</v>
      </c>
      <c r="B44" s="4" t="s">
        <v>17</v>
      </c>
      <c r="C44" s="4" t="s">
        <v>18</v>
      </c>
      <c r="D44" s="5">
        <v>34604</v>
      </c>
      <c r="E44" s="6" t="s">
        <v>19</v>
      </c>
      <c r="F44" s="4" t="s">
        <v>13</v>
      </c>
      <c r="G44" s="4" t="s">
        <v>20</v>
      </c>
      <c r="H44" s="4">
        <v>1</v>
      </c>
      <c r="I44" s="4" t="s">
        <v>15</v>
      </c>
    </row>
    <row r="45" spans="1:9" ht="16" thickBot="1" x14ac:dyDescent="0.25">
      <c r="A45" s="3" t="s">
        <v>30</v>
      </c>
      <c r="B45" s="4" t="s">
        <v>31</v>
      </c>
      <c r="C45" s="4" t="s">
        <v>32</v>
      </c>
      <c r="D45" s="5">
        <v>35615</v>
      </c>
      <c r="E45" s="6" t="s">
        <v>19</v>
      </c>
      <c r="F45" s="4" t="s">
        <v>13</v>
      </c>
      <c r="G45" s="4" t="s">
        <v>33</v>
      </c>
      <c r="H45" s="4">
        <v>1</v>
      </c>
      <c r="I45" s="4" t="s">
        <v>15</v>
      </c>
    </row>
    <row r="46" spans="1:9" ht="16" thickBot="1" x14ac:dyDescent="0.25">
      <c r="A46" s="3" t="s">
        <v>34</v>
      </c>
      <c r="B46" s="4" t="s">
        <v>35</v>
      </c>
      <c r="C46" s="4" t="s">
        <v>36</v>
      </c>
      <c r="D46" s="5">
        <v>34593</v>
      </c>
      <c r="E46" s="6" t="s">
        <v>19</v>
      </c>
      <c r="F46" s="4" t="s">
        <v>13</v>
      </c>
      <c r="G46" s="4" t="s">
        <v>37</v>
      </c>
      <c r="H46" s="4">
        <v>1</v>
      </c>
      <c r="I46" s="4" t="s">
        <v>15</v>
      </c>
    </row>
    <row r="47" spans="1:9" ht="16" thickBot="1" x14ac:dyDescent="0.25">
      <c r="A47" s="3" t="s">
        <v>51</v>
      </c>
      <c r="B47" s="4" t="s">
        <v>52</v>
      </c>
      <c r="C47" s="4" t="s">
        <v>36</v>
      </c>
      <c r="D47" s="5">
        <v>35513</v>
      </c>
      <c r="E47" s="6" t="s">
        <v>12</v>
      </c>
      <c r="F47" s="4" t="s">
        <v>13</v>
      </c>
      <c r="G47" s="4" t="s">
        <v>53</v>
      </c>
      <c r="H47" s="4">
        <v>1</v>
      </c>
      <c r="I47" s="4" t="s">
        <v>15</v>
      </c>
    </row>
    <row r="49" spans="1:9" ht="16" thickBot="1" x14ac:dyDescent="0.25">
      <c r="A49" t="s">
        <v>71</v>
      </c>
    </row>
    <row r="50" spans="1:9" ht="31" thickBot="1" x14ac:dyDescent="0.25">
      <c r="A50" s="1" t="s">
        <v>0</v>
      </c>
      <c r="B50" s="2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2" t="s">
        <v>6</v>
      </c>
      <c r="H50" s="2" t="s">
        <v>7</v>
      </c>
      <c r="I50" s="2" t="s">
        <v>8</v>
      </c>
    </row>
    <row r="51" spans="1:9" ht="16" thickBot="1" x14ac:dyDescent="0.25">
      <c r="A51" s="3" t="s">
        <v>27</v>
      </c>
      <c r="B51" s="4" t="s">
        <v>28</v>
      </c>
      <c r="C51" s="4" t="s">
        <v>29</v>
      </c>
      <c r="D51" s="5">
        <v>35465</v>
      </c>
      <c r="E51" s="6" t="s">
        <v>12</v>
      </c>
      <c r="F51" s="4" t="s">
        <v>13</v>
      </c>
      <c r="G51" s="4" t="s">
        <v>14</v>
      </c>
      <c r="H51" s="4">
        <v>2</v>
      </c>
      <c r="I51" s="4" t="s">
        <v>15</v>
      </c>
    </row>
    <row r="53" spans="1:9" ht="16" thickBot="1" x14ac:dyDescent="0.25">
      <c r="A53" t="s">
        <v>72</v>
      </c>
    </row>
    <row r="54" spans="1:9" ht="31" thickBot="1" x14ac:dyDescent="0.25">
      <c r="A54" s="1" t="s">
        <v>0</v>
      </c>
      <c r="B54" s="2" t="s">
        <v>1</v>
      </c>
      <c r="C54" s="2" t="s">
        <v>2</v>
      </c>
      <c r="D54" s="2" t="s">
        <v>3</v>
      </c>
      <c r="E54" s="2" t="s">
        <v>4</v>
      </c>
      <c r="F54" s="2" t="s">
        <v>5</v>
      </c>
      <c r="G54" s="2" t="s">
        <v>6</v>
      </c>
      <c r="H54" s="2" t="s">
        <v>7</v>
      </c>
      <c r="I54" s="2" t="s">
        <v>8</v>
      </c>
    </row>
    <row r="55" spans="1:9" ht="16" thickBot="1" x14ac:dyDescent="0.25">
      <c r="A55" s="3" t="s">
        <v>9</v>
      </c>
      <c r="B55" s="4" t="s">
        <v>10</v>
      </c>
      <c r="C55" s="4" t="s">
        <v>11</v>
      </c>
      <c r="D55" s="5">
        <v>35337</v>
      </c>
      <c r="E55" s="6" t="s">
        <v>12</v>
      </c>
      <c r="F55" s="4" t="s">
        <v>13</v>
      </c>
      <c r="G55" s="4" t="s">
        <v>14</v>
      </c>
      <c r="H55" s="4">
        <v>2</v>
      </c>
      <c r="I55" s="4" t="s">
        <v>15</v>
      </c>
    </row>
    <row r="56" spans="1:9" ht="16" thickBot="1" x14ac:dyDescent="0.25">
      <c r="A56" s="3" t="s">
        <v>16</v>
      </c>
      <c r="B56" s="4" t="s">
        <v>17</v>
      </c>
      <c r="C56" s="4" t="s">
        <v>18</v>
      </c>
      <c r="D56" s="5">
        <v>34604</v>
      </c>
      <c r="E56" s="6" t="s">
        <v>19</v>
      </c>
      <c r="F56" s="4" t="s">
        <v>13</v>
      </c>
      <c r="G56" s="4" t="s">
        <v>20</v>
      </c>
      <c r="H56" s="4">
        <v>1</v>
      </c>
      <c r="I56" s="4" t="s">
        <v>15</v>
      </c>
    </row>
    <row r="57" spans="1:9" ht="16" thickBot="1" x14ac:dyDescent="0.25">
      <c r="A57" s="3" t="s">
        <v>27</v>
      </c>
      <c r="B57" s="4" t="s">
        <v>28</v>
      </c>
      <c r="C57" s="4" t="s">
        <v>29</v>
      </c>
      <c r="D57" s="5">
        <v>35465</v>
      </c>
      <c r="E57" s="6" t="s">
        <v>12</v>
      </c>
      <c r="F57" s="4" t="s">
        <v>13</v>
      </c>
      <c r="G57" s="4" t="s">
        <v>14</v>
      </c>
      <c r="H57" s="4">
        <v>2</v>
      </c>
      <c r="I57" s="4" t="s">
        <v>15</v>
      </c>
    </row>
    <row r="58" spans="1:9" ht="16" thickBot="1" x14ac:dyDescent="0.25">
      <c r="A58" s="3" t="s">
        <v>30</v>
      </c>
      <c r="B58" s="4" t="s">
        <v>31</v>
      </c>
      <c r="C58" s="4" t="s">
        <v>32</v>
      </c>
      <c r="D58" s="5">
        <v>35615</v>
      </c>
      <c r="E58" s="6" t="s">
        <v>19</v>
      </c>
      <c r="F58" s="4" t="s">
        <v>13</v>
      </c>
      <c r="G58" s="4" t="s">
        <v>33</v>
      </c>
      <c r="H58" s="4">
        <v>1</v>
      </c>
      <c r="I58" s="4" t="s">
        <v>15</v>
      </c>
    </row>
    <row r="59" spans="1:9" ht="16" thickBot="1" x14ac:dyDescent="0.25">
      <c r="A59" s="3" t="s">
        <v>34</v>
      </c>
      <c r="B59" s="4" t="s">
        <v>35</v>
      </c>
      <c r="C59" s="4" t="s">
        <v>36</v>
      </c>
      <c r="D59" s="5">
        <v>34593</v>
      </c>
      <c r="E59" s="6" t="s">
        <v>19</v>
      </c>
      <c r="F59" s="4" t="s">
        <v>13</v>
      </c>
      <c r="G59" s="4" t="s">
        <v>37</v>
      </c>
      <c r="H59" s="4">
        <v>1</v>
      </c>
      <c r="I59" s="4" t="s">
        <v>15</v>
      </c>
    </row>
    <row r="60" spans="1:9" ht="16" thickBot="1" x14ac:dyDescent="0.25">
      <c r="A60" s="3" t="s">
        <v>38</v>
      </c>
      <c r="B60" s="4" t="s">
        <v>39</v>
      </c>
      <c r="C60" s="4" t="s">
        <v>40</v>
      </c>
      <c r="D60" s="5">
        <v>35614</v>
      </c>
      <c r="E60" s="6" t="s">
        <v>12</v>
      </c>
      <c r="F60" s="4" t="s">
        <v>13</v>
      </c>
      <c r="G60" s="4" t="s">
        <v>41</v>
      </c>
      <c r="H60" s="4">
        <v>2</v>
      </c>
      <c r="I60" s="4" t="s">
        <v>15</v>
      </c>
    </row>
    <row r="61" spans="1:9" ht="16" thickBot="1" x14ac:dyDescent="0.25">
      <c r="A61" s="3" t="s">
        <v>42</v>
      </c>
      <c r="B61" s="4" t="s">
        <v>22</v>
      </c>
      <c r="C61" s="4" t="s">
        <v>43</v>
      </c>
      <c r="D61" s="5">
        <v>34703</v>
      </c>
      <c r="E61" s="6" t="s">
        <v>19</v>
      </c>
      <c r="F61" s="4" t="s">
        <v>13</v>
      </c>
      <c r="G61" s="4" t="s">
        <v>44</v>
      </c>
      <c r="H61" s="4">
        <v>1</v>
      </c>
      <c r="I61" s="4" t="s">
        <v>45</v>
      </c>
    </row>
    <row r="62" spans="1:9" ht="16" thickBot="1" x14ac:dyDescent="0.25">
      <c r="A62" s="3" t="s">
        <v>46</v>
      </c>
      <c r="B62" s="4" t="s">
        <v>22</v>
      </c>
      <c r="C62" s="4" t="s">
        <v>49</v>
      </c>
      <c r="D62" s="5">
        <v>35339</v>
      </c>
      <c r="E62" s="6" t="s">
        <v>19</v>
      </c>
      <c r="F62" s="4" t="s">
        <v>13</v>
      </c>
      <c r="G62" s="4" t="s">
        <v>50</v>
      </c>
      <c r="H62" s="4">
        <v>1</v>
      </c>
      <c r="I62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9DC2-4D5F-4DBC-AB91-D91E49F01BDB}">
  <dimension ref="A1:I15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1" customWidth="1"/>
    <col min="4" max="4" width="11.1640625" customWidth="1"/>
  </cols>
  <sheetData>
    <row r="1" spans="1:9" ht="4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" thickBot="1" x14ac:dyDescent="0.25">
      <c r="A2" s="3" t="s">
        <v>9</v>
      </c>
      <c r="B2" s="4" t="s">
        <v>10</v>
      </c>
      <c r="C2" s="4" t="s">
        <v>11</v>
      </c>
      <c r="D2" s="5">
        <v>35337</v>
      </c>
      <c r="E2" s="6" t="s">
        <v>12</v>
      </c>
      <c r="F2" s="4" t="s">
        <v>13</v>
      </c>
      <c r="G2" s="4" t="s">
        <v>14</v>
      </c>
      <c r="H2" s="4">
        <v>2</v>
      </c>
      <c r="I2" s="4" t="s">
        <v>15</v>
      </c>
    </row>
    <row r="3" spans="1:9" ht="46" thickBot="1" x14ac:dyDescent="0.25">
      <c r="A3" s="3" t="s">
        <v>16</v>
      </c>
      <c r="B3" s="4" t="s">
        <v>17</v>
      </c>
      <c r="C3" s="4" t="s">
        <v>18</v>
      </c>
      <c r="D3" s="5">
        <v>34604</v>
      </c>
      <c r="E3" s="6" t="s">
        <v>19</v>
      </c>
      <c r="F3" s="4" t="s">
        <v>13</v>
      </c>
      <c r="G3" s="4" t="s">
        <v>20</v>
      </c>
      <c r="H3" s="4">
        <v>1</v>
      </c>
      <c r="I3" s="4" t="s">
        <v>15</v>
      </c>
    </row>
    <row r="4" spans="1:9" ht="16" thickBot="1" x14ac:dyDescent="0.25">
      <c r="A4" s="3" t="s">
        <v>21</v>
      </c>
      <c r="B4" s="4" t="s">
        <v>22</v>
      </c>
      <c r="C4" s="4" t="s">
        <v>23</v>
      </c>
      <c r="D4" s="5">
        <v>35593</v>
      </c>
      <c r="E4" s="6" t="s">
        <v>24</v>
      </c>
      <c r="F4" s="4" t="s">
        <v>13</v>
      </c>
      <c r="G4" s="4" t="s">
        <v>25</v>
      </c>
      <c r="H4" s="4">
        <v>1</v>
      </c>
      <c r="I4" s="4" t="s">
        <v>26</v>
      </c>
    </row>
    <row r="5" spans="1:9" ht="16" thickBot="1" x14ac:dyDescent="0.25">
      <c r="A5" s="3" t="s">
        <v>27</v>
      </c>
      <c r="B5" s="4" t="s">
        <v>28</v>
      </c>
      <c r="C5" s="4" t="s">
        <v>29</v>
      </c>
      <c r="D5" s="5">
        <v>35465</v>
      </c>
      <c r="E5" s="6" t="s">
        <v>12</v>
      </c>
      <c r="F5" s="4" t="s">
        <v>13</v>
      </c>
      <c r="G5" s="4" t="s">
        <v>14</v>
      </c>
      <c r="H5" s="4">
        <v>2</v>
      </c>
      <c r="I5" s="4" t="s">
        <v>15</v>
      </c>
    </row>
    <row r="6" spans="1:9" ht="46" thickBot="1" x14ac:dyDescent="0.25">
      <c r="A6" s="3" t="s">
        <v>30</v>
      </c>
      <c r="B6" s="4" t="s">
        <v>31</v>
      </c>
      <c r="C6" s="4" t="s">
        <v>32</v>
      </c>
      <c r="D6" s="5">
        <v>35615</v>
      </c>
      <c r="E6" s="6" t="s">
        <v>19</v>
      </c>
      <c r="F6" s="4" t="s">
        <v>13</v>
      </c>
      <c r="G6" s="4" t="s">
        <v>33</v>
      </c>
      <c r="H6" s="4">
        <v>1</v>
      </c>
      <c r="I6" s="4" t="s">
        <v>15</v>
      </c>
    </row>
    <row r="7" spans="1:9" ht="46" thickBot="1" x14ac:dyDescent="0.25">
      <c r="A7" s="3" t="s">
        <v>34</v>
      </c>
      <c r="B7" s="4" t="s">
        <v>35</v>
      </c>
      <c r="C7" s="4" t="s">
        <v>36</v>
      </c>
      <c r="D7" s="5">
        <v>34593</v>
      </c>
      <c r="E7" s="6" t="s">
        <v>19</v>
      </c>
      <c r="F7" s="4" t="s">
        <v>13</v>
      </c>
      <c r="G7" s="4" t="s">
        <v>37</v>
      </c>
      <c r="H7" s="4">
        <v>1</v>
      </c>
      <c r="I7" s="4" t="s">
        <v>15</v>
      </c>
    </row>
    <row r="8" spans="1:9" ht="16" thickBot="1" x14ac:dyDescent="0.25">
      <c r="A8" s="3" t="s">
        <v>38</v>
      </c>
      <c r="B8" s="4" t="s">
        <v>39</v>
      </c>
      <c r="C8" s="4" t="s">
        <v>40</v>
      </c>
      <c r="D8" s="5">
        <v>35614</v>
      </c>
      <c r="E8" s="6" t="s">
        <v>12</v>
      </c>
      <c r="F8" s="4" t="s">
        <v>13</v>
      </c>
      <c r="G8" s="4" t="s">
        <v>41</v>
      </c>
      <c r="H8" s="4">
        <v>2</v>
      </c>
      <c r="I8" s="4" t="s">
        <v>15</v>
      </c>
    </row>
    <row r="9" spans="1:9" ht="46" thickBot="1" x14ac:dyDescent="0.25">
      <c r="A9" s="3" t="s">
        <v>42</v>
      </c>
      <c r="B9" s="4" t="s">
        <v>22</v>
      </c>
      <c r="C9" s="4" t="s">
        <v>43</v>
      </c>
      <c r="D9" s="5">
        <v>34703</v>
      </c>
      <c r="E9" s="6" t="s">
        <v>19</v>
      </c>
      <c r="F9" s="4" t="s">
        <v>13</v>
      </c>
      <c r="G9" s="4" t="s">
        <v>44</v>
      </c>
      <c r="H9" s="4">
        <v>1</v>
      </c>
      <c r="I9" s="4" t="s">
        <v>45</v>
      </c>
    </row>
    <row r="10" spans="1:9" ht="16" thickBot="1" x14ac:dyDescent="0.25">
      <c r="A10" s="3" t="s">
        <v>46</v>
      </c>
      <c r="B10" s="4" t="s">
        <v>47</v>
      </c>
      <c r="C10" s="4" t="s">
        <v>48</v>
      </c>
      <c r="D10" s="5">
        <v>35121</v>
      </c>
      <c r="E10" s="6" t="s">
        <v>24</v>
      </c>
      <c r="F10" s="4" t="s">
        <v>13</v>
      </c>
      <c r="G10" s="4" t="s">
        <v>44</v>
      </c>
      <c r="H10" s="4">
        <v>1</v>
      </c>
      <c r="I10" s="4" t="s">
        <v>45</v>
      </c>
    </row>
    <row r="11" spans="1:9" ht="46" thickBot="1" x14ac:dyDescent="0.25">
      <c r="A11" s="3" t="s">
        <v>46</v>
      </c>
      <c r="B11" s="4" t="s">
        <v>22</v>
      </c>
      <c r="C11" s="4" t="s">
        <v>49</v>
      </c>
      <c r="D11" s="5">
        <v>35339</v>
      </c>
      <c r="E11" s="6" t="s">
        <v>19</v>
      </c>
      <c r="F11" s="4" t="s">
        <v>13</v>
      </c>
      <c r="G11" s="4" t="s">
        <v>50</v>
      </c>
      <c r="H11" s="4">
        <v>1</v>
      </c>
      <c r="I11" s="4" t="s">
        <v>26</v>
      </c>
    </row>
    <row r="12" spans="1:9" ht="16" thickBot="1" x14ac:dyDescent="0.25">
      <c r="A12" s="3" t="s">
        <v>51</v>
      </c>
      <c r="B12" s="4" t="s">
        <v>52</v>
      </c>
      <c r="C12" s="4" t="s">
        <v>36</v>
      </c>
      <c r="D12" s="5">
        <v>35513</v>
      </c>
      <c r="E12" s="6" t="s">
        <v>12</v>
      </c>
      <c r="F12" s="4" t="s">
        <v>13</v>
      </c>
      <c r="G12" s="4" t="s">
        <v>53</v>
      </c>
      <c r="H12" s="4">
        <v>1</v>
      </c>
      <c r="I12" s="4" t="s">
        <v>15</v>
      </c>
    </row>
    <row r="13" spans="1:9" ht="16" thickBot="1" x14ac:dyDescent="0.25"/>
    <row r="14" spans="1:9" ht="16" thickBot="1" x14ac:dyDescent="0.25">
      <c r="A14" s="2" t="s">
        <v>5</v>
      </c>
    </row>
    <row r="15" spans="1:9" ht="16" thickBot="1" x14ac:dyDescent="0.25">
      <c r="A15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Лист1</vt:lpstr>
      <vt:lpstr>Лист2</vt:lpstr>
      <vt:lpstr>Лист1!Извлечь</vt:lpstr>
      <vt:lpstr>Лист1!Критерии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Алеся Пылаева</cp:lastModifiedBy>
  <dcterms:created xsi:type="dcterms:W3CDTF">2026-02-09T07:24:18Z</dcterms:created>
  <dcterms:modified xsi:type="dcterms:W3CDTF">2026-02-15T11:04:44Z</dcterms:modified>
</cp:coreProperties>
</file>